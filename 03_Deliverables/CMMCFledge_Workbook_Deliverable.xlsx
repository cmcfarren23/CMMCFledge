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CB6EC5F3-A8DD-46C0-9AAC-0C6CB1E4D22B}" xr6:coauthVersionLast="47" xr6:coauthVersionMax="47" xr10:uidLastSave="{00000000-0000-0000-0000-000000000000}"/>
  <bookViews>
    <workbookView xWindow="41130" yWindow="3915" windowWidth="23040" windowHeight="121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<sst xmlns="http://schemas.openxmlformats.org/spreadsheetml/2006/main" count="224" uniqueCount="107">
  <si>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</si>
  <si>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</si>
  <si>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</si>
  <si>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</si>
  <si>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</si>
  <si>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</si>
  <si>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</si>
  <si>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</si>
  <si>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</si>
  <si>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</si>
  <si>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</si>
  <si>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</si>
  <si>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</si>
  <si>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</si>
  <si>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</si>
  <si>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</si>
  <si>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</si>
  <si>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</si>
  <si>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</si>
  <si>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</si>
  <si>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</si>
  <si>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</si>
  <si>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</si>
  <si>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</si>
  <si>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</si>
  <si>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</si>
  <si>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</si>
  <si>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</si>
  <si>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</si>
  <si>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</si>
  <si>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</si>
  <si>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</si>
  <si>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</si>
  <si>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</si>
  <si>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</si>
  <si>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</si>
  <si>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</si>
  <si>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</si>
  <si>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</si>
  <si>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</si>
  <si>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</si>
  <si>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</si>
  <si>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</si>
  <si>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</si>
  <si>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</si>
  <si>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</si>
  <si>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</si>
  <si>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</si>
  <si>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</si>
  <si>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</si>
  <si>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</si>
  <si>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</si>
  <si>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</si>
  <si>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</si>
  <si>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</si>
  <si>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</si>
  <si>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</si>
  <si>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</si>
  <si>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</si>
  <si>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</si>
  <si>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</si>
  <si>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</si>
  <si>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</si>
  <si>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</si>
  <si>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</si>
  <si>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</si>
  <si>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</si>
  <si>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</si>
  <si>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</si>
  <si>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</si>
  <si>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</si>
  <si>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</si>
  <si>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</si>
  <si>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</si>
  <si>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</si>
  <si>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</si>
  <si>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</si>
  <si>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</si>
  <si>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</si>
  <si>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</si>
  <si>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</si>
  <si>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</si>
  <si>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</si>
  <si>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</si>
  <si>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</si>
  <si>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</si>
  <si>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</si>
  <si>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</si>
  <si>
    <t>Building out L2 assessment outline</t>
  </si>
  <si>
    <t>Building out L2 assessment</t>
  </si>
  <si>
    <t>Outside stakeholder discussion</t>
  </si>
  <si>
    <t>Building out L2 assessment, AC/AT</t>
  </si>
  <si>
    <t>Changed start page, drafted progress bar</t>
  </si>
  <si>
    <t>Fixed CUI cat pages due to N/A vars after user test</t>
  </si>
  <si>
    <t>Building out L2 assessment, AU</t>
  </si>
  <si>
    <t>Fixed L1 Formatting</t>
  </si>
  <si>
    <t>Favicon Added</t>
  </si>
  <si>
    <t>Preparing for Final Deliverables</t>
  </si>
  <si>
    <t>Fixing domain issues</t>
  </si>
  <si>
    <t>Built CM, IA, IR</t>
  </si>
  <si>
    <t>Built MA, MP</t>
  </si>
  <si>
    <t>wrote system vision and stakeholder documents., built capstone board</t>
  </si>
  <si>
    <t>Fixed documentation</t>
  </si>
  <si>
    <t>Built PS,PE,RA,CA and fixed some minor errors</t>
  </si>
  <si>
    <t>SC, SI built</t>
  </si>
  <si>
    <t>added progress bar, fixed assessment navigation</t>
  </si>
  <si>
    <t>Discussion with outside testers and fixed bugs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</si>
</sst>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>
              <a:tint val="8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5">
              <a:shade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5">
              <a:shade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5">
              <a:shade val="4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tint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Pt>
            <c:idx val="11"/>
            <c:bubble3D val="0"/>
            <c:spPr>
              <a:solidFill>
                <a:schemeClr val="accent5">
                  <a:shade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7EDF-4341-B959-53B1A6BDC324}"/>
              </c:ext>
            </c:extLst>
          </c:dPt>
          <c:dPt>
            <c:idx val="12"/>
            <c:bubble3D val="0"/>
            <c:spPr>
              <a:solidFill>
                <a:schemeClr val="accent5">
                  <a:shade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7EDF-4341-B959-53B1A6BDC324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Summary!$A$19:$A$32</c:f>
              <c:strCache>
                <c:ptCount val="13"/>
                <c:pt idx="0">
                  <c:v>Other (See Notes)</c:v>
                </c:pt>
                <c:pt idx="1">
                  <c:v>Research</c:v>
                </c:pt>
                <c:pt idx="2">
                  <c:v>Research Implementation</c:v>
                </c:pt>
                <c:pt idx="3">
                  <c:v>Application Story Board</c:v>
                </c:pt>
                <c:pt idx="4">
                  <c:v>Final Deliverables</c:v>
                </c:pt>
                <c:pt idx="5">
                  <c:v>ERD</c:v>
                </c:pt>
                <c:pt idx="6">
                  <c:v>System Diagrams</c:v>
                </c:pt>
                <c:pt idx="7">
                  <c:v>Standup Dev. Env.</c:v>
                </c:pt>
                <c:pt idx="8">
                  <c:v>Database Standup</c:v>
                </c:pt>
                <c:pt idx="9">
                  <c:v>Build Dev. Env.</c:v>
                </c:pt>
                <c:pt idx="10">
                  <c:v>Production Standup</c:v>
                </c:pt>
                <c:pt idx="11">
                  <c:v>Production Migration</c:v>
                </c:pt>
                <c:pt idx="12">
                  <c:v>Testing</c:v>
                </c:pt>
              </c:strCache>
            </c:strRef>
          </c:cat>
          <c:val>
            <c:numRef>
              <c:f>Summary!$B$19:$B$32</c:f>
              <c:numCache>
                <c:formatCode>General</c:formatCode>
                <c:ptCount val="13"/>
                <c:pt idx="0">
                  <c:v>495</c:v>
                </c:pt>
                <c:pt idx="1">
                  <c:v>600</c:v>
                </c:pt>
                <c:pt idx="2">
                  <c:v>360</c:v>
                </c:pt>
                <c:pt idx="3">
                  <c:v>285</c:v>
                </c:pt>
                <c:pt idx="4">
                  <c:v>645</c:v>
                </c:pt>
                <c:pt idx="5">
                  <c:v>60</c:v>
                </c:pt>
                <c:pt idx="6">
                  <c:v>60</c:v>
                </c:pt>
                <c:pt idx="7">
                  <c:v>315</c:v>
                </c:pt>
                <c:pt idx="8">
                  <c:v>195</c:v>
                </c:pt>
                <c:pt idx="9">
                  <c:v>4230</c:v>
                </c:pt>
                <c:pt idx="10">
                  <c:v>270</c:v>
                </c:pt>
                <c:pt idx="11">
                  <c:v>240</c:v>
                </c:pt>
                <c:pt idx="12">
                  <c:v>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Amount</a:t>
            </a:r>
            <a:r>
              <a:rPr lang="en-US" baseline="0"/>
              <a:t> of Estimated Time Used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8055</c:v>
                </c:pt>
                <c:pt idx="1">
                  <c:v>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</xdr:colOff>
      <xdr:row>17</xdr:row>
      <xdr:rowOff>7620</xdr:rowOff>
    </xdr:from>
    <xdr:to>
      <xdr:col>6</xdr:col>
      <xdr:colOff>670560</xdr:colOff>
      <xdr:row>32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752475</xdr:colOff>
      <xdr:row>17</xdr:row>
      <xdr:rowOff>15240</xdr:rowOff>
    </xdr:from>
    <xdr:to>
      <xdr:col>10</xdr:col>
      <xdr:colOff>775335</xdr:colOff>
      <xdr:row>32</xdr:row>
      <xdr:rowOff>15240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937260</xdr:colOff>
      <xdr:row>1</xdr:row>
      <xdr:rowOff>180975</xdr:rowOff>
    </xdr:from>
    <xdr:to>
      <xdr:col>10</xdr:col>
      <xdr:colOff>937260</xdr:colOff>
      <xdr:row>16</xdr:row>
      <xdr:rowOff>9525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12489180" y="363855"/>
          <a:ext cx="0" cy="2571750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94.8625388888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2-04T00:00:00" count="45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d v="2025-10-30T00:00:00"/>
        <d v="2025-10-31T00:00:00"/>
        <d v="2025-11-01T00:00:00"/>
        <d v="2025-11-02T00:00:00"/>
        <d v="2025-11-03T00:00:00"/>
        <d v="2025-11-04T00:00:00"/>
        <d v="2025-11-08T00:00:00"/>
        <d v="2025-11-09T00:00:00"/>
        <d v="2025-11-10T00:00:00"/>
        <d v="2025-11-11T00:00:00"/>
        <d v="2025-11-13T00:00:00"/>
        <d v="2025-11-14T00:00:00"/>
        <d v="2025-11-15T00:00:00"/>
        <d v="2025-11-16T00:00:00"/>
        <d v="2025-11-17T00:00:00"/>
        <d v="2025-11-19T00:00:00"/>
        <d v="2025-11-20T00:00:00"/>
        <d v="2025-11-21T00:00:00"/>
        <d v="2025-11-22T00:00:00"/>
        <d v="2025-11-23T00:00:00"/>
        <d v="2025-11-24T00:00:00"/>
        <d v="2025-11-28T00:00:00"/>
        <d v="2025-11-29T00:00:00"/>
        <d v="2025-11-30T00:00:00"/>
        <d v="2025-12-02T00:00:00"/>
        <d v="2025-12-03T00:00:00"/>
        <m/>
      </sharedItems>
      <fieldGroup par="5"/>
    </cacheField>
    <cacheField name="Time (Mins)" numFmtId="0">
      <sharedItems containsString="0" containsBlank="1" containsNumber="1" containsInteger="1" minValue="15" maxValue="330"/>
    </cacheField>
    <cacheField name="Task" numFmtId="0">
      <sharedItems containsBlank="1" count="14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s v="Production Standup"/>
        <s v="Production Migration"/>
        <s v="Testing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2-04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2/4/2025"/>
        </groupItems>
      </fieldGroup>
    </cacheField>
    <cacheField name="Months (Date)" numFmtId="0" databaseField="0">
      <fieldGroup base="0">
        <rangePr groupBy="months" startDate="2025-09-27T00:00:00" endDate="2025-12-04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4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n v="150"/>
    <x v="9"/>
    <s v="Working on assessment"/>
  </r>
  <r>
    <x v="19"/>
    <n v="255"/>
    <x v="9"/>
    <s v="Working on assessment"/>
  </r>
  <r>
    <x v="20"/>
    <n v="195"/>
    <x v="9"/>
    <s v="Working on assessment"/>
  </r>
  <r>
    <x v="20"/>
    <n v="135"/>
    <x v="10"/>
    <s v="Creating an AWS account and putting the CMMC Fledge website on there (CSS does not work on asessment pages)"/>
  </r>
  <r>
    <x v="21"/>
    <n v="120"/>
    <x v="9"/>
    <s v="working on assessment"/>
  </r>
  <r>
    <x v="21"/>
    <n v="135"/>
    <x v="9"/>
    <s v="working with CUI types in the assessment"/>
  </r>
  <r>
    <x v="22"/>
    <n v="90"/>
    <x v="9"/>
    <s v="working on assessment"/>
  </r>
  <r>
    <x v="22"/>
    <n v="60"/>
    <x v="9"/>
    <s v="Working on assessment report for l1"/>
  </r>
  <r>
    <x v="23"/>
    <n v="285"/>
    <x v="9"/>
    <s v="Working on assessment report for l1"/>
  </r>
  <r>
    <x v="23"/>
    <n v="45"/>
    <x v="4"/>
    <s v="Working on presentation for milestone 2"/>
  </r>
  <r>
    <x v="24"/>
    <n v="75"/>
    <x v="11"/>
    <s v="Getting AWS RDS"/>
  </r>
  <r>
    <x v="25"/>
    <n v="120"/>
    <x v="11"/>
    <s v="Getting AWS RDS tables"/>
  </r>
  <r>
    <x v="26"/>
    <n v="45"/>
    <x v="11"/>
    <s v="Git Fixes / RDS fixes"/>
  </r>
  <r>
    <x v="26"/>
    <n v="60"/>
    <x v="0"/>
    <s v="Feedback discussion"/>
  </r>
  <r>
    <x v="27"/>
    <n v="45"/>
    <x v="0"/>
    <s v="Contacting AWS suppport for domain name"/>
  </r>
  <r>
    <x v="28"/>
    <n v="45"/>
    <x v="12"/>
    <s v="Discussion with outside stakeholder to discuss future look of the website"/>
  </r>
  <r>
    <x v="28"/>
    <n v="15"/>
    <x v="10"/>
    <s v="Resloving DNS issues, got cmmcfledge.com"/>
  </r>
  <r>
    <x v="28"/>
    <n v="90"/>
    <x v="10"/>
    <s v="Getting HTTPS traffic to work"/>
  </r>
  <r>
    <x v="29"/>
    <n v="120"/>
    <x v="9"/>
    <s v="Changing website colors"/>
  </r>
  <r>
    <x v="30"/>
    <n v="210"/>
    <x v="9"/>
    <s v="fixing some styles, putting first touches on Fledge Dictonary, About us write up"/>
  </r>
  <r>
    <x v="30"/>
    <n v="45"/>
    <x v="12"/>
    <s v="Discussion with outside stakeholder to discuss future look of result page and Dictonary page"/>
  </r>
  <r>
    <x v="31"/>
    <n v="210"/>
    <x v="9"/>
    <s v="Added CMMC l2 controls to DB, Added assessments criteria to DB (both test and prod)"/>
  </r>
  <r>
    <x v="31"/>
    <n v="90"/>
    <x v="9"/>
    <s v="debugged l1 result due to improper init of values"/>
  </r>
  <r>
    <x v="32"/>
    <n v="75"/>
    <x v="9"/>
    <s v="Built out dictionary"/>
  </r>
  <r>
    <x v="33"/>
    <n v="45"/>
    <x v="9"/>
    <s v="Building out L2 assessment outline"/>
  </r>
  <r>
    <x v="34"/>
    <n v="60"/>
    <x v="9"/>
    <s v="Building out L2 assessment outline"/>
  </r>
  <r>
    <x v="34"/>
    <n v="45"/>
    <x v="9"/>
    <s v="Building out L2 assessment outline"/>
  </r>
  <r>
    <x v="35"/>
    <n v="75"/>
    <x v="9"/>
    <s v="Building out L2 assessment"/>
  </r>
  <r>
    <x v="36"/>
    <n v="330"/>
    <x v="9"/>
    <s v="Building out L2 assessment, AC/AT"/>
  </r>
  <r>
    <x v="36"/>
    <n v="30"/>
    <x v="12"/>
    <s v="Outside stakeholder discussion"/>
  </r>
  <r>
    <x v="37"/>
    <n v="30"/>
    <x v="9"/>
    <s v="Changed start page, drafted progress bar"/>
  </r>
  <r>
    <x v="37"/>
    <n v="30"/>
    <x v="12"/>
    <s v="Fixed CUI cat pages due to N/A vars after user test"/>
  </r>
  <r>
    <x v="37"/>
    <n v="75"/>
    <x v="9"/>
    <s v="Building out L2 assessment, AU"/>
  </r>
  <r>
    <x v="37"/>
    <n v="15"/>
    <x v="12"/>
    <s v="Fixed L1 Formatting"/>
  </r>
  <r>
    <x v="37"/>
    <n v="30"/>
    <x v="9"/>
    <s v="Favicon Added"/>
  </r>
  <r>
    <x v="38"/>
    <n v="45"/>
    <x v="4"/>
    <s v="Preparing for Final Deliverables"/>
  </r>
  <r>
    <x v="39"/>
    <n v="30"/>
    <x v="10"/>
    <s v="Fixing domain issues"/>
  </r>
  <r>
    <x v="39"/>
    <n v="225"/>
    <x v="7"/>
    <s v="Built CM, IA, IR"/>
  </r>
  <r>
    <x v="40"/>
    <n v="180"/>
    <x v="9"/>
    <s v="Built MA, MP"/>
  </r>
  <r>
    <x v="41"/>
    <n v="300"/>
    <x v="4"/>
    <s v="wrote system vision and stakeholder documents., built capstone board"/>
  </r>
  <r>
    <x v="42"/>
    <n v="30"/>
    <x v="4"/>
    <s v="Fixed documentation"/>
  </r>
  <r>
    <x v="42"/>
    <n v="240"/>
    <x v="9"/>
    <s v="Built PS,PE,RA,CA and fixed some minor errors"/>
  </r>
  <r>
    <x v="43"/>
    <n v="195"/>
    <x v="9"/>
    <s v="SC, SI built"/>
  </r>
  <r>
    <x v="43"/>
    <n v="75"/>
    <x v="12"/>
    <s v="added progress bar, fixed assessment navigation"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  <r>
    <x v="44"/>
    <m/>
    <x v="1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2" firstHeaderRow="1" firstDataRow="1" firstDataCol="1"/>
  <pivotFields count="6">
    <pivotField showAll="0">
      <items count="46">
        <item x="0"/>
        <item x="1"/>
        <item x="2"/>
        <item x="3"/>
        <item x="44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dataField="1" showAll="0"/>
    <pivotField axis="axisRow" showAll="0">
      <items count="15">
        <item x="0"/>
        <item x="1"/>
        <item h="1" x="13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4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Sum of Time (Mins)" fld="1" baseField="0" baseItem="0"/>
  </dataFields>
  <chartFormats count="1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2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2"/>
  <sheetViews>
    <sheetView showGridLines="0" topLeftCell="A7" workbookViewId="0">
      <selection activeCell="N25" sqref="N25"/>
    </sheetView>
  </sheetViews>
  <sheetFormatPr defaultColWidth="16.33203125" defaultRowHeight="14.4" x14ac:dyDescent="0.3"/>
  <cols>
    <col min="1" max="1" width="21.88671875" bestFit="1" customWidth="1"/>
    <col min="2" max="2" width="16.77734375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495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5</v>
      </c>
      <c r="B21">
        <v>360</v>
      </c>
    </row>
    <row r="22" spans="1:2" x14ac:dyDescent="0.3">
      <c r="A22" s="35" t="s">
        <v>6</v>
      </c>
      <c r="B22">
        <v>285</v>
      </c>
    </row>
    <row r="23" spans="1:2" x14ac:dyDescent="0.3">
      <c r="A23" s="35" t="s">
        <v>28</v>
      </c>
      <c r="B23">
        <v>645</v>
      </c>
    </row>
    <row r="24" spans="1:2" x14ac:dyDescent="0.3">
      <c r="A24" s="35" t="s">
        <v>7</v>
      </c>
      <c r="B24">
        <v>60</v>
      </c>
    </row>
    <row r="25" spans="1:2" x14ac:dyDescent="0.3">
      <c r="A25" s="35" t="s">
        <v>8</v>
      </c>
      <c r="B25">
        <v>60</v>
      </c>
    </row>
    <row r="26" spans="1:2" x14ac:dyDescent="0.3">
      <c r="A26" s="35" t="s">
        <v>9</v>
      </c>
      <c r="B26">
        <v>315</v>
      </c>
    </row>
    <row r="27" spans="1:2" x14ac:dyDescent="0.3">
      <c r="A27" s="35" t="s">
        <v>19</v>
      </c>
      <c r="B27">
        <v>195</v>
      </c>
    </row>
    <row r="28" spans="1:2" x14ac:dyDescent="0.3">
      <c r="A28" s="35" t="s">
        <v>27</v>
      </c>
      <c r="B28">
        <v>4230</v>
      </c>
    </row>
    <row r="29" spans="1:2" x14ac:dyDescent="0.3">
      <c r="A29" s="35" t="s">
        <v>10</v>
      </c>
      <c r="B29">
        <v>270</v>
      </c>
    </row>
    <row r="30" spans="1:2" x14ac:dyDescent="0.3">
      <c r="A30" s="35" t="s">
        <v>11</v>
      </c>
      <c r="B30">
        <v>240</v>
      </c>
    </row>
    <row r="31" spans="1:2" x14ac:dyDescent="0.3">
      <c r="A31" s="35" t="s">
        <v>15</v>
      </c>
      <c r="B31">
        <v>240</v>
      </c>
    </row>
    <row r="32" spans="1:2" x14ac:dyDescent="0.3">
      <c r="A32" s="35" t="s">
        <v>37</v>
      </c>
      <c r="B32">
        <v>7995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66" workbookViewId="0">
      <selection activeCell="E82" sqref="E82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40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41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42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45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43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44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49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46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47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48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50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51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52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53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54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55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56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46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57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58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59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60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61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62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63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63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64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65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66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67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68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68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68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69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70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78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70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71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71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72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73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74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75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76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77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79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80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81</v>
      </c>
    </row>
    <row r="58" spans="3:6" x14ac:dyDescent="0.3">
      <c r="C58" s="33">
        <v>45975</v>
      </c>
      <c r="D58" s="23">
        <v>120</v>
      </c>
      <c r="E58" s="23" t="s">
        <v>27</v>
      </c>
      <c r="F58" s="23" t="s">
        <v>82</v>
      </c>
    </row>
    <row r="59" spans="3:6" x14ac:dyDescent="0.3">
      <c r="C59" s="32">
        <v>45976</v>
      </c>
      <c r="D59" s="22">
        <v>210</v>
      </c>
      <c r="E59" s="22" t="s">
        <v>27</v>
      </c>
      <c r="F59" s="22" t="s">
        <v>84</v>
      </c>
    </row>
    <row r="60" spans="3:6" x14ac:dyDescent="0.3">
      <c r="C60" s="33">
        <v>45976</v>
      </c>
      <c r="D60" s="23">
        <v>45</v>
      </c>
      <c r="E60" s="23" t="s">
        <v>15</v>
      </c>
      <c r="F60" s="23" t="s">
        <v>83</v>
      </c>
    </row>
    <row r="61" spans="3:6" x14ac:dyDescent="0.3">
      <c r="C61" s="32">
        <v>45977</v>
      </c>
      <c r="D61" s="22">
        <v>210</v>
      </c>
      <c r="E61" s="22" t="s">
        <v>27</v>
      </c>
      <c r="F61" s="22" t="s">
        <v>85</v>
      </c>
    </row>
    <row r="62" spans="3:6" x14ac:dyDescent="0.3">
      <c r="C62" s="33">
        <v>45977</v>
      </c>
      <c r="D62" s="23">
        <v>90</v>
      </c>
      <c r="E62" s="23" t="s">
        <v>27</v>
      </c>
      <c r="F62" s="23" t="s">
        <v>86</v>
      </c>
    </row>
    <row r="63" spans="3:6" x14ac:dyDescent="0.3">
      <c r="C63" s="32">
        <v>45978</v>
      </c>
      <c r="D63" s="22">
        <v>75</v>
      </c>
      <c r="E63" s="22" t="s">
        <v>27</v>
      </c>
      <c r="F63" s="22" t="s">
        <v>87</v>
      </c>
    </row>
    <row r="64" spans="3:6" x14ac:dyDescent="0.3">
      <c r="C64" s="33">
        <v>45980</v>
      </c>
      <c r="D64" s="23">
        <v>45</v>
      </c>
      <c r="E64" s="23" t="s">
        <v>27</v>
      </c>
      <c r="F64" s="23" t="s">
        <v>88</v>
      </c>
    </row>
    <row r="65" spans="3:6" x14ac:dyDescent="0.3">
      <c r="C65" s="32">
        <v>45981</v>
      </c>
      <c r="D65" s="22">
        <v>60</v>
      </c>
      <c r="E65" s="22" t="s">
        <v>27</v>
      </c>
      <c r="F65" s="22" t="s">
        <v>88</v>
      </c>
    </row>
    <row r="66" spans="3:6" x14ac:dyDescent="0.3">
      <c r="C66" s="33">
        <v>45981</v>
      </c>
      <c r="D66" s="23">
        <v>45</v>
      </c>
      <c r="E66" s="23" t="s">
        <v>27</v>
      </c>
      <c r="F66" s="23" t="s">
        <v>88</v>
      </c>
    </row>
    <row r="67" spans="3:6" x14ac:dyDescent="0.3">
      <c r="C67" s="32">
        <v>45982</v>
      </c>
      <c r="D67" s="22">
        <v>75</v>
      </c>
      <c r="E67" s="22" t="s">
        <v>27</v>
      </c>
      <c r="F67" s="22" t="s">
        <v>89</v>
      </c>
    </row>
    <row r="68" spans="3:6" x14ac:dyDescent="0.3">
      <c r="C68" s="33">
        <v>45983</v>
      </c>
      <c r="D68" s="23">
        <v>330</v>
      </c>
      <c r="E68" s="23" t="s">
        <v>27</v>
      </c>
      <c r="F68" s="23" t="s">
        <v>91</v>
      </c>
    </row>
    <row r="69" spans="3:6" x14ac:dyDescent="0.3">
      <c r="C69" s="32">
        <v>45983</v>
      </c>
      <c r="D69" s="22">
        <v>30</v>
      </c>
      <c r="E69" s="22" t="s">
        <v>15</v>
      </c>
      <c r="F69" s="22" t="s">
        <v>90</v>
      </c>
    </row>
    <row r="70" spans="3:6" x14ac:dyDescent="0.3">
      <c r="C70" s="33">
        <v>45984</v>
      </c>
      <c r="D70" s="23">
        <v>30</v>
      </c>
      <c r="E70" s="23" t="s">
        <v>27</v>
      </c>
      <c r="F70" s="23" t="s">
        <v>92</v>
      </c>
    </row>
    <row r="71" spans="3:6" x14ac:dyDescent="0.3">
      <c r="C71" s="32">
        <v>45984</v>
      </c>
      <c r="D71" s="22">
        <v>30</v>
      </c>
      <c r="E71" s="22" t="s">
        <v>15</v>
      </c>
      <c r="F71" s="22" t="s">
        <v>93</v>
      </c>
    </row>
    <row r="72" spans="3:6" x14ac:dyDescent="0.3">
      <c r="C72" s="33">
        <v>45984</v>
      </c>
      <c r="D72" s="23">
        <v>75</v>
      </c>
      <c r="E72" s="23" t="s">
        <v>27</v>
      </c>
      <c r="F72" s="23" t="s">
        <v>94</v>
      </c>
    </row>
    <row r="73" spans="3:6" x14ac:dyDescent="0.3">
      <c r="C73" s="32">
        <v>45984</v>
      </c>
      <c r="D73" s="22">
        <v>15</v>
      </c>
      <c r="E73" s="22" t="s">
        <v>15</v>
      </c>
      <c r="F73" s="22" t="s">
        <v>95</v>
      </c>
    </row>
    <row r="74" spans="3:6" x14ac:dyDescent="0.3">
      <c r="C74" s="33">
        <v>45984</v>
      </c>
      <c r="D74" s="23">
        <v>30</v>
      </c>
      <c r="E74" s="23" t="s">
        <v>27</v>
      </c>
      <c r="F74" s="23" t="s">
        <v>96</v>
      </c>
    </row>
    <row r="75" spans="3:6" x14ac:dyDescent="0.3">
      <c r="C75" s="32">
        <v>45985</v>
      </c>
      <c r="D75" s="22">
        <v>45</v>
      </c>
      <c r="E75" s="22" t="s">
        <v>28</v>
      </c>
      <c r="F75" s="22" t="s">
        <v>97</v>
      </c>
    </row>
    <row r="76" spans="3:6" x14ac:dyDescent="0.3">
      <c r="C76" s="33">
        <v>45989</v>
      </c>
      <c r="D76" s="23">
        <v>30</v>
      </c>
      <c r="E76" s="23" t="s">
        <v>10</v>
      </c>
      <c r="F76" s="23" t="s">
        <v>98</v>
      </c>
    </row>
    <row r="77" spans="3:6" x14ac:dyDescent="0.3">
      <c r="C77" s="32">
        <v>45989</v>
      </c>
      <c r="D77" s="22">
        <v>225</v>
      </c>
      <c r="E77" s="22" t="s">
        <v>9</v>
      </c>
      <c r="F77" s="22" t="s">
        <v>99</v>
      </c>
    </row>
    <row r="78" spans="3:6" x14ac:dyDescent="0.3">
      <c r="C78" s="33">
        <v>45990</v>
      </c>
      <c r="D78" s="23">
        <v>180</v>
      </c>
      <c r="E78" s="23" t="s">
        <v>27</v>
      </c>
      <c r="F78" s="23" t="s">
        <v>100</v>
      </c>
    </row>
    <row r="79" spans="3:6" x14ac:dyDescent="0.3">
      <c r="C79" s="32">
        <v>45991</v>
      </c>
      <c r="D79" s="22">
        <v>300</v>
      </c>
      <c r="E79" s="22" t="s">
        <v>28</v>
      </c>
      <c r="F79" s="22" t="s">
        <v>101</v>
      </c>
    </row>
    <row r="80" spans="3:6" x14ac:dyDescent="0.3">
      <c r="C80" s="33">
        <v>45993</v>
      </c>
      <c r="D80" s="23">
        <v>30</v>
      </c>
      <c r="E80" s="23" t="s">
        <v>28</v>
      </c>
      <c r="F80" s="23" t="s">
        <v>102</v>
      </c>
    </row>
    <row r="81" spans="3:6" x14ac:dyDescent="0.3">
      <c r="C81" s="32">
        <v>45993</v>
      </c>
      <c r="D81" s="22">
        <v>240</v>
      </c>
      <c r="E81" s="22" t="s">
        <v>27</v>
      </c>
      <c r="F81" s="22" t="s">
        <v>103</v>
      </c>
    </row>
    <row r="82" spans="3:6" x14ac:dyDescent="0.3">
      <c r="C82" s="33">
        <v>45994</v>
      </c>
      <c r="D82" s="23">
        <v>195</v>
      </c>
      <c r="E82" s="23" t="s">
        <v>27</v>
      </c>
      <c r="F82" s="23" t="s">
        <v>104</v>
      </c>
    </row>
    <row r="83" spans="3:6" x14ac:dyDescent="0.3">
      <c r="C83" s="32">
        <v>45994</v>
      </c>
      <c r="D83" s="22">
        <v>75</v>
      </c>
      <c r="E83" s="22" t="s">
        <v>15</v>
      </c>
      <c r="F83" s="22" t="s">
        <v>105</v>
      </c>
    </row>
    <row r="84" spans="3:6" x14ac:dyDescent="0.3">
      <c r="C84" s="33">
        <v>45994</v>
      </c>
      <c r="D84" s="23">
        <v>60</v>
      </c>
      <c r="E84" s="23" t="s">
        <v>15</v>
      </c>
      <c r="F84" s="23" t="s">
        <v>106</v>
      </c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F2" sqref="F2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38</v>
      </c>
      <c r="E1" t="s">
        <v>39</v>
      </c>
    </row>
    <row r="2" spans="2:5" x14ac:dyDescent="0.3">
      <c r="B2" t="s">
        <v>2</v>
      </c>
      <c r="D2">
        <f>SUM(Table2[Time (Mins)])</f>
        <v>8055</v>
      </c>
      <c r="E2">
        <f>8700-D2</f>
        <v>645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2025-12-04T02:54:11Z</dcterms:modified>
</cp:coreProperties>
</file>