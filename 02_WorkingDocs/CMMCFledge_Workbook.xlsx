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EFC833DE-A913-4772-A4BC-596EEBC530D1}" xr6:coauthVersionLast="47" xr6:coauthVersionMax="47" xr10:uidLastSave="{00000000-0000-0000-0000-000000000000}"/>
  <bookViews>
    <workbookView xWindow="40290" yWindow="3735" windowWidth="23040" windowHeight="12120" activeTab="2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4" i="2" l="1"/>
  <c r="D2" i="3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<sst xmlns="http://schemas.openxmlformats.org/spreadsheetml/2006/main" count="180" uniqueCount="89">
  <si>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</si>
  <si>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</si>
  <si>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</si>
  <si>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</si>
  <si>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</si>
  <si>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</si>
  <si>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</si>
  <si>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</si>
  <si>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</si>
  <si>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</si>
  <si>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</si>
  <si>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</si>
  <si>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</si>
  <si>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</si>
  <si>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</si>
  <si>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</si>
  <si>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</si>
  <si>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</si>
  <si>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</si>
  <si>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</si>
  <si>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</si>
  <si>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</si>
  <si>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</si>
  <si>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</si>
  <si>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</si>
  <si>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</si>
  <si>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</si>
  <si>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</si>
  <si>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</si>
  <si>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</si>
  <si>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</si>
  <si>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</si>
  <si>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</si>
  <si>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</si>
  <si>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</si>
  <si>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</si>
  <si>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</si>
  <si>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</si>
  <si>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</si>
  <si>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</si>
  <si>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</si>
  <si>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</si>
  <si>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</si>
  <si>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</si>
  <si>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</si>
  <si>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</si>
  <si>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</si>
  <si>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</si>
  <si>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</si>
  <si>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</si>
  <si>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</si>
  <si>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</si>
  <si>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</si>
  <si>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</si>
  <si>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</si>
  <si>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</si>
  <si>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</si>
  <si>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</si>
  <si>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</si>
  <si>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</si>
  <si>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</si>
  <si>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</si>
  <si>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</si>
  <si>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</si>
  <si>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</si>
  <si>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</si>
  <si>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</si>
  <si>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</si>
  <si>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</si>
  <si>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</si>
  <si>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</si>
  <si>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</si>
  <si>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Working on assessment report for l1</t>
  </si>
  <si>
    <t>Working on presentation for milestone 2</t>
  </si>
  <si>
    <t>Getting AWS RDS</t>
  </si>
  <si>
    <t>Getting AWS RDS tables</t>
  </si>
  <si>
    <t>Git Fixes / RDS fixes</t>
  </si>
  <si>
    <t>Feedback discussion</t>
  </si>
  <si>
    <t>Contacting AWS suppport for domain name</t>
  </si>
  <si>
    <t>working with CUI types in the assessment</t>
  </si>
  <si>
    <t>Discussion with outside stakeholder to discuss future look of the website</t>
  </si>
  <si>
    <t>Resloving DNS issues, got cmmcfledge.com</t>
  </si>
  <si>
    <t>Getting HTTPS traffic to work</t>
  </si>
  <si>
    <t>Changing website colors</t>
  </si>
  <si>
    <t>Discussion with outside stakeholder to discuss future look of result page and Dictonary page</t>
  </si>
  <si>
    <t>fixing some styles, putting first touches on Fledge Dictonary, About us write up</t>
  </si>
  <si>
    <t>Added CMMC l2 controls to DB, Added assessments criteria to DB (both test and prod)</t>
  </si>
  <si>
    <t>debugged l1 result due to improper init of values</t>
  </si>
  <si>
    <t>Built out dictionary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</si>
</sst>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6855</c:v>
                </c:pt>
                <c:pt idx="1">
                  <c:v>1845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274320</xdr:colOff>
      <xdr:row>1</xdr:row>
      <xdr:rowOff>173355</xdr:rowOff>
    </xdr:from>
    <xdr:to>
      <xdr:col>9</xdr:col>
      <xdr:colOff>274320</xdr:colOff>
      <xdr:row>16</xdr:row>
      <xdr:rowOff>1905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10732770" y="354330"/>
          <a:ext cx="0" cy="2543175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topLeftCell="A13" workbookViewId="0">
      <selection activeCell="I8" sqref="I8"/>
    </sheetView>
  </sheetViews>
  <sheetFormatPr defaultColWidth="16.33203125" defaultRowHeight="14.4" x14ac:dyDescent="0.3"/>
  <cols>
    <col min="1" max="1" width="23.33203125" bestFit="1" customWidth="1"/>
    <col min="2" max="2" width="18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>
        <v>390</v>
      </c>
    </row>
    <row r="20" spans="1:2" x14ac:dyDescent="0.3">
      <c r="A20" s="35" t="s">
        <v>4</v>
      </c>
      <c r="B20">
        <v>600</v>
      </c>
    </row>
    <row r="21" spans="1:2" x14ac:dyDescent="0.3">
      <c r="A21" s="35" t="s">
        <v>37</v>
      </c>
    </row>
    <row r="22" spans="1:2" x14ac:dyDescent="0.3">
      <c r="A22" s="35" t="s">
        <v>5</v>
      </c>
      <c r="B22">
        <v>360</v>
      </c>
    </row>
    <row r="23" spans="1:2" x14ac:dyDescent="0.3">
      <c r="A23" s="35" t="s">
        <v>6</v>
      </c>
      <c r="B23">
        <v>285</v>
      </c>
    </row>
    <row r="24" spans="1:2" x14ac:dyDescent="0.3">
      <c r="A24" s="35" t="s">
        <v>28</v>
      </c>
      <c r="B24">
        <v>225</v>
      </c>
    </row>
    <row r="25" spans="1:2" x14ac:dyDescent="0.3">
      <c r="A25" s="35" t="s">
        <v>7</v>
      </c>
      <c r="B25">
        <v>60</v>
      </c>
    </row>
    <row r="26" spans="1:2" x14ac:dyDescent="0.3">
      <c r="A26" s="35" t="s">
        <v>8</v>
      </c>
      <c r="B26">
        <v>60</v>
      </c>
    </row>
    <row r="27" spans="1:2" x14ac:dyDescent="0.3">
      <c r="A27" s="35" t="s">
        <v>9</v>
      </c>
      <c r="B27">
        <v>90</v>
      </c>
    </row>
    <row r="28" spans="1:2" x14ac:dyDescent="0.3">
      <c r="A28" s="35" t="s">
        <v>19</v>
      </c>
      <c r="B28">
        <v>195</v>
      </c>
    </row>
    <row r="29" spans="1:2" x14ac:dyDescent="0.3">
      <c r="A29" s="35" t="s">
        <v>27</v>
      </c>
      <c r="B29">
        <v>930</v>
      </c>
    </row>
    <row r="30" spans="1:2" x14ac:dyDescent="0.3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opLeftCell="C33" workbookViewId="0">
      <selection activeCell="E9" sqref="E9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3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3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3">
      <c r="C45" s="32">
        <v>45963</v>
      </c>
      <c r="D45" s="22">
        <v>135</v>
      </c>
      <c r="E45" s="22" t="s">
        <v>27</v>
      </c>
      <c r="F45" s="22" t="s">
        <v>79</v>
      </c>
    </row>
    <row r="46" spans="3:6" x14ac:dyDescent="0.3">
      <c r="C46" s="33">
        <v>45964</v>
      </c>
      <c r="D46" s="23">
        <v>90</v>
      </c>
      <c r="E46" s="23" t="s">
        <v>27</v>
      </c>
      <c r="F46" s="23" t="s">
        <v>71</v>
      </c>
    </row>
    <row r="47" spans="3:6" x14ac:dyDescent="0.3">
      <c r="C47" s="32">
        <v>45964</v>
      </c>
      <c r="D47" s="22">
        <v>60</v>
      </c>
      <c r="E47" s="22" t="s">
        <v>27</v>
      </c>
      <c r="F47" s="22" t="s">
        <v>72</v>
      </c>
    </row>
    <row r="48" spans="3:6" x14ac:dyDescent="0.3">
      <c r="C48" s="33">
        <v>45965</v>
      </c>
      <c r="D48" s="23">
        <v>285</v>
      </c>
      <c r="E48" s="23" t="s">
        <v>27</v>
      </c>
      <c r="F48" s="23" t="s">
        <v>72</v>
      </c>
    </row>
    <row r="49" spans="3:6" x14ac:dyDescent="0.3">
      <c r="C49" s="32">
        <v>45965</v>
      </c>
      <c r="D49" s="22">
        <v>45</v>
      </c>
      <c r="E49" s="22" t="s">
        <v>28</v>
      </c>
      <c r="F49" s="22" t="s">
        <v>73</v>
      </c>
    </row>
    <row r="50" spans="3:6" x14ac:dyDescent="0.3">
      <c r="C50" s="33">
        <v>45969</v>
      </c>
      <c r="D50" s="23">
        <v>75</v>
      </c>
      <c r="E50" s="23" t="s">
        <v>11</v>
      </c>
      <c r="F50" s="23" t="s">
        <v>74</v>
      </c>
    </row>
    <row r="51" spans="3:6" x14ac:dyDescent="0.3">
      <c r="C51" s="32">
        <v>45970</v>
      </c>
      <c r="D51" s="22">
        <v>120</v>
      </c>
      <c r="E51" s="22" t="s">
        <v>11</v>
      </c>
      <c r="F51" s="22" t="s">
        <v>75</v>
      </c>
    </row>
    <row r="52" spans="3:6" x14ac:dyDescent="0.3">
      <c r="C52" s="33">
        <v>45971</v>
      </c>
      <c r="D52" s="23">
        <v>45</v>
      </c>
      <c r="E52" s="23" t="s">
        <v>11</v>
      </c>
      <c r="F52" s="23" t="s">
        <v>76</v>
      </c>
    </row>
    <row r="53" spans="3:6" x14ac:dyDescent="0.3">
      <c r="C53" s="32">
        <v>45971</v>
      </c>
      <c r="D53" s="22">
        <v>60</v>
      </c>
      <c r="E53" s="22" t="s">
        <v>29</v>
      </c>
      <c r="F53" s="22" t="s">
        <v>77</v>
      </c>
    </row>
    <row r="54" spans="3:6" x14ac:dyDescent="0.3">
      <c r="C54" s="33">
        <v>45972</v>
      </c>
      <c r="D54" s="23">
        <v>45</v>
      </c>
      <c r="E54" s="23" t="s">
        <v>29</v>
      </c>
      <c r="F54" s="23" t="s">
        <v>78</v>
      </c>
    </row>
    <row r="55" spans="3:6" x14ac:dyDescent="0.3">
      <c r="C55" s="32">
        <v>45974</v>
      </c>
      <c r="D55" s="22">
        <v>45</v>
      </c>
      <c r="E55" s="22" t="s">
        <v>15</v>
      </c>
      <c r="F55" s="22" t="s">
        <v>80</v>
      </c>
    </row>
    <row r="56" spans="3:6" x14ac:dyDescent="0.3">
      <c r="C56" s="33">
        <v>45974</v>
      </c>
      <c r="D56" s="23">
        <v>15</v>
      </c>
      <c r="E56" s="23" t="s">
        <v>10</v>
      </c>
      <c r="F56" s="23" t="s">
        <v>81</v>
      </c>
    </row>
    <row r="57" spans="3:6" x14ac:dyDescent="0.3">
      <c r="C57" s="32">
        <v>45974</v>
      </c>
      <c r="D57" s="22">
        <v>90</v>
      </c>
      <c r="E57" s="22" t="s">
        <v>10</v>
      </c>
      <c r="F57" s="22" t="s">
        <v>82</v>
      </c>
    </row>
    <row r="58" spans="3:6" x14ac:dyDescent="0.3">
      <c r="C58" s="33">
        <v>45975</v>
      </c>
      <c r="D58" s="23">
        <v>120</v>
      </c>
      <c r="E58" s="23" t="s">
        <v>27</v>
      </c>
      <c r="F58" s="23" t="s">
        <v>83</v>
      </c>
    </row>
    <row r="59" spans="3:6" x14ac:dyDescent="0.3">
      <c r="C59" s="32">
        <v>45976</v>
      </c>
      <c r="D59" s="22">
        <v>210</v>
      </c>
      <c r="E59" s="22" t="s">
        <v>27</v>
      </c>
      <c r="F59" s="22" t="s">
        <v>85</v>
      </c>
    </row>
    <row r="60" spans="3:6" x14ac:dyDescent="0.3">
      <c r="C60" s="33">
        <v>45976</v>
      </c>
      <c r="D60" s="23">
        <v>45</v>
      </c>
      <c r="E60" s="23" t="s">
        <v>15</v>
      </c>
      <c r="F60" s="23" t="s">
        <v>84</v>
      </c>
    </row>
    <row r="61" spans="3:6" x14ac:dyDescent="0.3">
      <c r="C61" s="32">
        <v>45977</v>
      </c>
      <c r="D61" s="22">
        <v>210</v>
      </c>
      <c r="E61" s="22" t="s">
        <v>27</v>
      </c>
      <c r="F61" s="22" t="s">
        <v>86</v>
      </c>
    </row>
    <row r="62" spans="3:6" x14ac:dyDescent="0.3">
      <c r="C62" s="33">
        <v>45977</v>
      </c>
      <c r="D62" s="23">
        <v>90</v>
      </c>
      <c r="E62" s="23" t="s">
        <v>27</v>
      </c>
      <c r="F62" s="23" t="s">
        <v>87</v>
      </c>
    </row>
    <row r="63" spans="3:6" x14ac:dyDescent="0.3">
      <c r="C63" s="32">
        <v>45978</v>
      </c>
      <c r="D63" s="22">
        <v>75</v>
      </c>
      <c r="E63" s="22" t="s">
        <v>27</v>
      </c>
      <c r="F63" s="22" t="s">
        <v>88</v>
      </c>
    </row>
    <row r="64" spans="3:6" x14ac:dyDescent="0.3">
      <c r="C64" s="25"/>
      <c r="D64" s="23">
        <f>SUM(D54:D63)</f>
        <v>945</v>
      </c>
      <c r="E64" s="23"/>
      <c r="F64" s="23"/>
    </row>
    <row r="65" spans="3:6" x14ac:dyDescent="0.3">
      <c r="C65" s="24"/>
      <c r="D65" s="22"/>
      <c r="E65" s="22"/>
      <c r="F65" s="22"/>
    </row>
    <row r="66" spans="3:6" x14ac:dyDescent="0.3">
      <c r="C66" s="25"/>
      <c r="D66" s="23"/>
      <c r="E66" s="23"/>
      <c r="F66" s="23"/>
    </row>
    <row r="67" spans="3:6" x14ac:dyDescent="0.3">
      <c r="C67" s="24"/>
      <c r="D67" s="22"/>
      <c r="E67" s="22"/>
      <c r="F67" s="22"/>
    </row>
    <row r="68" spans="3:6" x14ac:dyDescent="0.3">
      <c r="C68" s="25"/>
      <c r="D68" s="23"/>
      <c r="E68" s="23"/>
      <c r="F68" s="23"/>
    </row>
    <row r="69" spans="3:6" x14ac:dyDescent="0.3">
      <c r="C69" s="24"/>
      <c r="D69" s="22"/>
      <c r="E69" s="22"/>
      <c r="F69" s="22"/>
    </row>
    <row r="70" spans="3:6" x14ac:dyDescent="0.3">
      <c r="C70" s="25"/>
      <c r="D70" s="23"/>
      <c r="E70" s="23"/>
      <c r="F70" s="23"/>
    </row>
    <row r="71" spans="3:6" x14ac:dyDescent="0.3">
      <c r="C71" s="24"/>
      <c r="D71" s="22"/>
      <c r="E71" s="22"/>
      <c r="F71" s="22"/>
    </row>
    <row r="72" spans="3:6" x14ac:dyDescent="0.3">
      <c r="C72" s="25"/>
      <c r="D72" s="23"/>
      <c r="E72" s="23"/>
      <c r="F72" s="23"/>
    </row>
    <row r="73" spans="3:6" x14ac:dyDescent="0.3">
      <c r="C73" s="24"/>
      <c r="D73" s="22"/>
      <c r="E73" s="22"/>
      <c r="F73" s="22"/>
    </row>
    <row r="74" spans="3:6" x14ac:dyDescent="0.3">
      <c r="C74" s="25"/>
      <c r="D74" s="23"/>
      <c r="E74" s="23"/>
      <c r="F74" s="23"/>
    </row>
    <row r="75" spans="3:6" x14ac:dyDescent="0.3">
      <c r="C75" s="24"/>
      <c r="D75" s="22"/>
      <c r="E75" s="22"/>
      <c r="F75" s="22"/>
    </row>
    <row r="76" spans="3:6" x14ac:dyDescent="0.3">
      <c r="C76" s="25"/>
      <c r="D76" s="23"/>
      <c r="E76" s="23"/>
      <c r="F76" s="23"/>
    </row>
    <row r="77" spans="3:6" x14ac:dyDescent="0.3">
      <c r="C77" s="24"/>
      <c r="D77" s="22"/>
      <c r="E77" s="22"/>
      <c r="F77" s="22"/>
    </row>
    <row r="78" spans="3:6" x14ac:dyDescent="0.3">
      <c r="C78" s="25"/>
      <c r="D78" s="23"/>
      <c r="E78" s="23"/>
      <c r="F78" s="23"/>
    </row>
    <row r="79" spans="3:6" x14ac:dyDescent="0.3">
      <c r="C79" s="24"/>
      <c r="D79" s="22"/>
      <c r="E79" s="22"/>
      <c r="F79" s="22"/>
    </row>
    <row r="80" spans="3:6" x14ac:dyDescent="0.3">
      <c r="C80" s="25"/>
      <c r="D80" s="23"/>
      <c r="E80" s="23"/>
      <c r="F80" s="23"/>
    </row>
    <row r="81" spans="3:6" x14ac:dyDescent="0.3">
      <c r="C81" s="24"/>
      <c r="D81" s="22"/>
      <c r="E81" s="22"/>
      <c r="F81" s="22"/>
    </row>
    <row r="82" spans="3:6" x14ac:dyDescent="0.3">
      <c r="C82" s="25"/>
      <c r="D82" s="23"/>
      <c r="E82" s="23"/>
      <c r="F82" s="23"/>
    </row>
    <row r="83" spans="3:6" x14ac:dyDescent="0.3">
      <c r="C83" s="24"/>
      <c r="D83" s="22"/>
      <c r="E83" s="22"/>
      <c r="F83" s="22"/>
    </row>
    <row r="84" spans="3:6" x14ac:dyDescent="0.3">
      <c r="C84" s="25"/>
      <c r="D84" s="23"/>
      <c r="E84" s="23"/>
      <c r="F84" s="23"/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tabSelected="1" workbookViewId="0">
      <selection activeCell="D2" sqref="D2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39</v>
      </c>
      <c r="E1" t="s">
        <v>40</v>
      </c>
    </row>
    <row r="2" spans="2:5" x14ac:dyDescent="0.3">
      <c r="B2" t="s">
        <v>2</v>
      </c>
      <c r="D2">
        <f>SUM(Table2[Time (Mins)])</f>
        <v>6855</v>
      </c>
      <c r="E2">
        <f>8700-D2</f>
        <v>1845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2025-11-18T15:05:42Z</dcterms:modified>
</cp:coreProperties>
</file>